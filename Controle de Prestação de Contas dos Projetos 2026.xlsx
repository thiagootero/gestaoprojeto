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Taíza Pires\Downloads\"/>
    </mc:Choice>
  </mc:AlternateContent>
  <xr:revisionPtr revIDLastSave="232" documentId="13_ncr:1_{FC6F47B5-0DFF-4936-A003-5336ECE5ED51}" xr6:coauthVersionLast="47" xr6:coauthVersionMax="47" xr10:uidLastSave="{CCD3697F-F5F3-44FA-A353-5DC419795B07}"/>
  <bookViews>
    <workbookView xWindow="-108" yWindow="-108" windowWidth="23256" windowHeight="12456" xr2:uid="{00000000-000D-0000-FFFF-FFFF00000000}"/>
  </bookViews>
  <sheets>
    <sheet name="Controle de Prazos" sheetId="1" r:id="rId1"/>
    <sheet name="Resumo Ger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</calcChain>
</file>

<file path=xl/sharedStrings.xml><?xml version="1.0" encoding="utf-8"?>
<sst xmlns="http://schemas.openxmlformats.org/spreadsheetml/2006/main" count="59" uniqueCount="38">
  <si>
    <t>Projeto</t>
  </si>
  <si>
    <t>Encerramento Contratos Colaborado/Prestadores</t>
  </si>
  <si>
    <t>Data de Início do Projeto</t>
  </si>
  <si>
    <t>Data Encerramento do Projeto</t>
  </si>
  <si>
    <t>Data para Prorrogação de Projeto - 1º Aditivo</t>
  </si>
  <si>
    <t>Contrato Prorrogado até</t>
  </si>
  <si>
    <t>Prestação de Contas Qualitativa -INTERNA MENSAL</t>
  </si>
  <si>
    <t>Prestação de Contas Qualitativa - 1ª ETAPA</t>
  </si>
  <si>
    <t>Prestação de Contas Qualitativa - 2ª ETAPA</t>
  </si>
  <si>
    <t>Prestação de Contas Qualitativa - 3ª ETAPA</t>
  </si>
  <si>
    <t>Prestação de Contas Qualitativa - 4ª ETAPA</t>
  </si>
  <si>
    <t>Prestação de Contas Financeira - INTERNA MENSAL</t>
  </si>
  <si>
    <t>Prestação de Contas Financeira - 1ª Etapa22</t>
  </si>
  <si>
    <t>Prestação de Contas Financeira - 2ª Etapa</t>
  </si>
  <si>
    <t>Prestação de Contas Financeira - 3ª Etapa</t>
  </si>
  <si>
    <t>Prestação de Contas Financeira - 4ª Etapa</t>
  </si>
  <si>
    <t>Status</t>
  </si>
  <si>
    <t>CULTURA DO ESPORTE</t>
  </si>
  <si>
    <t>DIA 10</t>
  </si>
  <si>
    <t>-</t>
  </si>
  <si>
    <t>CAMPEÕES DO SERTÃO 3</t>
  </si>
  <si>
    <t>FORMANDO CAMPEÕES 3</t>
  </si>
  <si>
    <t>E-DUCAR - FIA SALINAS</t>
  </si>
  <si>
    <t>DIA 27</t>
  </si>
  <si>
    <t>CULTURA DO SABER - FIA SALINAS</t>
  </si>
  <si>
    <t>14/03//2025</t>
  </si>
  <si>
    <t>CULTURA DO SABER - FIA NINHEIRA</t>
  </si>
  <si>
    <t>CULTURA DO SABER- MINC</t>
  </si>
  <si>
    <t>CULTURA DO SABER - PNAB</t>
  </si>
  <si>
    <t>E-DUCAR - CRIANÇA ESPERANÇA</t>
  </si>
  <si>
    <t>LATIMPACTO</t>
  </si>
  <si>
    <t>SERTÃO VERDE/SONHO DE MARIA</t>
  </si>
  <si>
    <t>DIA 06</t>
  </si>
  <si>
    <t>Resumo de Prestação de Contas por Projeto</t>
  </si>
  <si>
    <t>Total de Projetos:</t>
  </si>
  <si>
    <t>Projetos Concluídos:</t>
  </si>
  <si>
    <t>Projetos Pendentes:</t>
  </si>
  <si>
    <t>Projetos em Atraso: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</si>
</sst>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" fontId="0" fillId="0" borderId="0" xfId="0" applyNumberFormat="1"/>
    <xf numFmtId="14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4" fontId="0" fillId="4" borderId="5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4" fontId="0" fillId="4" borderId="6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/>
    <xf numFmtId="0" fontId="1" fillId="2" borderId="10" xfId="0" applyFont="1" applyFill="1" applyBorder="1" applyAlignment="1">
      <alignment horizontal="center" vertical="center" wrapText="1"/>
    </xf>
    <xf numFmtId="14" fontId="0" fillId="4" borderId="11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3" fillId="3" borderId="1" xfId="0" applyFont="1" applyFill="1" applyBorder="1"/>
  </cellXfs>
  <cellStyles count="1">
    <cellStyle name="Normal" xfId="0" builtinId="0"/>
  </cellStyles>
  <dxfs count="59"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medium">
          <color rgb="FF000000"/>
        </left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medium">
          <color rgb="FF000000"/>
        </left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/>
      </font>
      <fill>
        <patternFill patternType="solid">
          <fgColor indexed="64"/>
          <bgColor theme="2"/>
        </patternFill>
      </fill>
      <border diagonalUp="0" diagonalDown="0">
        <left/>
        <right style="medium">
          <color indexed="64"/>
        </right>
        <top/>
        <bottom/>
        <vertic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2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ntrolePrazos" displayName="TabelaControlePrazos" ref="A1:Q14" dataDxfId="18" tableBorderDxfId="17">
  <tableColumns count="17">
    <tableColumn id="1" xr3:uid="{00000000-0010-0000-0000-000001000000}" name="Projeto" dataDxfId="16"/>
    <tableColumn id="20" xr3:uid="{37791747-3D60-4BCE-BC47-0EF33486EA06}" name="Encerramento Contratos Colaborado/Prestadores" dataDxfId="15"/>
    <tableColumn id="11" xr3:uid="{34F8C620-074C-4053-968F-AFA9073E1038}" name="Data de Início do Projeto" dataDxfId="14"/>
    <tableColumn id="2" xr3:uid="{00000000-0010-0000-0000-000002000000}" name="Data Encerramento do Projeto" dataDxfId="13"/>
    <tableColumn id="19" xr3:uid="{28D61825-685C-4E74-986C-C31EF3E7CF5D}" name="Data para Prorrogação de Projeto - 1º Aditivo" dataDxfId="12"/>
    <tableColumn id="12" xr3:uid="{EFF0360E-9087-49DF-A066-8516D92C8558}" name="Contrato Prorrogado até" dataDxfId="11"/>
    <tableColumn id="8" xr3:uid="{4BF5E76A-6681-4E9E-96AA-2571817D075B}" name="Prestação de Contas Qualitativa -INTERNA MENSAL" dataDxfId="10"/>
    <tableColumn id="15" xr3:uid="{83514B36-350B-4E6A-9DF4-6EC9A607CB43}" name="Prestação de Contas Qualitativa - 1ª ETAPA" dataDxfId="9"/>
    <tableColumn id="7" xr3:uid="{AE4253BA-ED47-42A5-8B96-D3B9F479B84D}" name="Prestação de Contas Qualitativa - 2ª ETAPA" dataDxfId="8"/>
    <tableColumn id="4" xr3:uid="{00000000-0010-0000-0000-000004000000}" name="Prestação de Contas Qualitativa - 3ª ETAPA" dataDxfId="7"/>
    <tableColumn id="17" xr3:uid="{BB4D77C6-652A-4500-99A3-AD76B5F45B77}" name="Prestação de Contas Qualitativa - 4ª ETAPA" dataDxfId="6"/>
    <tableColumn id="10" xr3:uid="{54C698B7-E75B-415F-82F8-A42A2B6D7520}" name="Prestação de Contas Financeira - INTERNA MENSAL" dataDxfId="5"/>
    <tableColumn id="16" xr3:uid="{126DC546-7766-402A-9977-E59973157FAB}" name="Prestação de Contas Financeira - 1ª Etapa22" dataDxfId="4"/>
    <tableColumn id="9" xr3:uid="{390B9A0B-3B63-4CC6-B226-A802E7181764}" name="Prestação de Contas Financeira - 2ª Etapa" dataDxfId="3"/>
    <tableColumn id="18" xr3:uid="{87036D73-DF3A-41E2-8F2D-2104BA62555A}" name="Prestação de Contas Financeira - 3ª Etapa" dataDxfId="2"/>
    <tableColumn id="5" xr3:uid="{00000000-0010-0000-0000-000005000000}" name="Prestação de Contas Financeira - 4ª Etapa" dataDxfId="1"/>
    <tableColumn id="6" xr3:uid="{00000000-0010-0000-0000-000006000000}" name="Status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pane ySplit="1" topLeftCell="A2" activePane="bottomLeft" state="frozen"/>
      <selection pane="bottomLeft" activeCell="H12" sqref="H12"/>
    </sheetView>
  </sheetViews>
  <sheetFormatPr defaultColWidth="8.85546875" defaultRowHeight="15" customHeight="1"/>
  <cols>
    <col min="1" max="1" width="34.28515625" customWidth="1"/>
    <col min="2" max="2" width="22.28515625" customWidth="1"/>
    <col min="3" max="3" width="17.5703125" customWidth="1"/>
    <col min="4" max="4" width="18.28515625" customWidth="1"/>
    <col min="5" max="6" width="17.7109375" customWidth="1"/>
    <col min="7" max="8" width="21" customWidth="1"/>
    <col min="9" max="9" width="20.140625" customWidth="1"/>
    <col min="10" max="10" width="22.42578125" bestFit="1" customWidth="1"/>
    <col min="11" max="11" width="19.28515625" customWidth="1"/>
    <col min="12" max="15" width="20.85546875" customWidth="1"/>
    <col min="16" max="16" width="20" customWidth="1"/>
    <col min="17" max="17" width="19.7109375" customWidth="1"/>
  </cols>
  <sheetData>
    <row r="1" spans="1:17" ht="52.5" customHeight="1">
      <c r="A1" s="22" t="s">
        <v>0</v>
      </c>
      <c r="B1" s="24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12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2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6" t="s">
        <v>16</v>
      </c>
    </row>
    <row r="2" spans="1:17">
      <c r="A2" s="27" t="s">
        <v>17</v>
      </c>
      <c r="B2" s="25">
        <v>46387</v>
      </c>
      <c r="C2" s="7">
        <v>45874</v>
      </c>
      <c r="D2" s="7">
        <v>46239</v>
      </c>
      <c r="E2" s="3">
        <v>46081</v>
      </c>
      <c r="F2" s="3"/>
      <c r="G2" s="15" t="s">
        <v>18</v>
      </c>
      <c r="H2" s="10">
        <v>46001</v>
      </c>
      <c r="I2" s="10">
        <v>46327</v>
      </c>
      <c r="J2" s="10" t="s">
        <v>19</v>
      </c>
      <c r="K2" s="10" t="s">
        <v>19</v>
      </c>
      <c r="L2" s="15" t="s">
        <v>18</v>
      </c>
      <c r="M2" s="10">
        <v>46001</v>
      </c>
      <c r="N2" s="10">
        <v>46327</v>
      </c>
      <c r="O2" s="10"/>
      <c r="P2" s="17" t="s">
        <v>19</v>
      </c>
      <c r="Q2" s="8"/>
    </row>
    <row r="3" spans="1:17">
      <c r="A3" s="23" t="s">
        <v>20</v>
      </c>
      <c r="B3" s="25">
        <v>46295</v>
      </c>
      <c r="C3" s="7">
        <v>45839</v>
      </c>
      <c r="D3" s="7">
        <v>46204</v>
      </c>
      <c r="E3" s="3"/>
      <c r="F3" s="3"/>
      <c r="G3" s="15" t="s">
        <v>18</v>
      </c>
      <c r="H3" s="10">
        <v>45971</v>
      </c>
      <c r="I3" s="10">
        <v>46296</v>
      </c>
      <c r="J3" s="11" t="s">
        <v>19</v>
      </c>
      <c r="K3" s="10" t="s">
        <v>19</v>
      </c>
      <c r="L3" s="15" t="s">
        <v>18</v>
      </c>
      <c r="M3" s="10">
        <v>45971</v>
      </c>
      <c r="N3" s="10">
        <v>46296</v>
      </c>
      <c r="O3" s="10"/>
      <c r="P3" s="16" t="s">
        <v>19</v>
      </c>
      <c r="Q3" s="8"/>
    </row>
    <row r="4" spans="1:17">
      <c r="A4" s="23" t="s">
        <v>21</v>
      </c>
      <c r="B4" s="25">
        <v>46295</v>
      </c>
      <c r="C4" s="7">
        <v>45839</v>
      </c>
      <c r="D4" s="7">
        <v>46204</v>
      </c>
      <c r="E4" s="3"/>
      <c r="F4" s="3"/>
      <c r="G4" s="15" t="s">
        <v>18</v>
      </c>
      <c r="H4" s="10">
        <v>45971</v>
      </c>
      <c r="I4" s="10">
        <v>46296</v>
      </c>
      <c r="J4" s="11" t="s">
        <v>19</v>
      </c>
      <c r="K4" s="11" t="s">
        <v>19</v>
      </c>
      <c r="L4" s="15" t="s">
        <v>18</v>
      </c>
      <c r="M4" s="10">
        <v>45971</v>
      </c>
      <c r="N4" s="10">
        <v>46296</v>
      </c>
      <c r="O4" s="10"/>
      <c r="P4" s="16" t="s">
        <v>19</v>
      </c>
      <c r="Q4" s="8"/>
    </row>
    <row r="5" spans="1:17">
      <c r="A5" s="23" t="s">
        <v>22</v>
      </c>
      <c r="B5" s="25">
        <v>46295</v>
      </c>
      <c r="C5" s="7">
        <v>45775</v>
      </c>
      <c r="D5" s="7">
        <v>46022</v>
      </c>
      <c r="E5" s="3">
        <v>45991</v>
      </c>
      <c r="F5" s="3">
        <v>46203</v>
      </c>
      <c r="G5" s="15" t="s">
        <v>18</v>
      </c>
      <c r="H5" s="10">
        <v>45959</v>
      </c>
      <c r="I5" s="10">
        <v>46062</v>
      </c>
      <c r="J5" s="10">
        <v>46122</v>
      </c>
      <c r="K5" s="11"/>
      <c r="L5" s="15" t="s">
        <v>23</v>
      </c>
      <c r="M5" s="10">
        <v>45959</v>
      </c>
      <c r="N5" s="10">
        <v>46062</v>
      </c>
      <c r="O5" s="10">
        <v>46122</v>
      </c>
      <c r="P5" s="16"/>
      <c r="Q5" s="8"/>
    </row>
    <row r="6" spans="1:17">
      <c r="A6" s="23" t="s">
        <v>24</v>
      </c>
      <c r="B6" s="25">
        <v>46387</v>
      </c>
      <c r="C6" s="8" t="s">
        <v>25</v>
      </c>
      <c r="D6" s="7">
        <v>46022</v>
      </c>
      <c r="E6" s="3">
        <v>45991</v>
      </c>
      <c r="F6" s="3">
        <v>46418</v>
      </c>
      <c r="G6" s="15" t="s">
        <v>18</v>
      </c>
      <c r="H6" s="10">
        <v>45959</v>
      </c>
      <c r="I6" s="10">
        <v>46062</v>
      </c>
      <c r="J6" s="10">
        <v>46122</v>
      </c>
      <c r="K6" s="11"/>
      <c r="L6" s="15" t="s">
        <v>23</v>
      </c>
      <c r="M6" s="10">
        <v>45959</v>
      </c>
      <c r="N6" s="10">
        <v>46062</v>
      </c>
      <c r="O6" s="10">
        <v>46122</v>
      </c>
      <c r="P6" s="16"/>
      <c r="Q6" s="8"/>
    </row>
    <row r="7" spans="1:17">
      <c r="A7" s="23" t="s">
        <v>26</v>
      </c>
      <c r="B7" s="25">
        <v>46387</v>
      </c>
      <c r="C7" s="7">
        <v>45775</v>
      </c>
      <c r="D7" s="7">
        <v>46140</v>
      </c>
      <c r="E7" s="3">
        <v>46109</v>
      </c>
      <c r="F7" s="4"/>
      <c r="G7" s="15" t="s">
        <v>18</v>
      </c>
      <c r="H7" s="10">
        <v>45910</v>
      </c>
      <c r="I7" s="10">
        <v>46081</v>
      </c>
      <c r="J7" s="10">
        <v>46122</v>
      </c>
      <c r="K7" s="11"/>
      <c r="L7" s="15" t="s">
        <v>23</v>
      </c>
      <c r="M7" s="10">
        <v>45910</v>
      </c>
      <c r="N7" s="10">
        <v>46081</v>
      </c>
      <c r="O7" s="10">
        <v>46122</v>
      </c>
      <c r="P7" s="16"/>
      <c r="Q7" s="8"/>
    </row>
    <row r="8" spans="1:17">
      <c r="A8" s="23" t="s">
        <v>27</v>
      </c>
      <c r="B8" s="25">
        <v>46203</v>
      </c>
      <c r="C8" s="7">
        <v>46023</v>
      </c>
      <c r="D8" s="7">
        <v>46239</v>
      </c>
      <c r="E8" s="3"/>
      <c r="F8" s="3"/>
      <c r="G8" s="15" t="s">
        <v>18</v>
      </c>
      <c r="H8" s="10">
        <v>46111</v>
      </c>
      <c r="I8" s="10">
        <v>46264</v>
      </c>
      <c r="J8" s="11"/>
      <c r="K8" s="11"/>
      <c r="L8" s="18"/>
      <c r="M8" s="11"/>
      <c r="N8" s="11"/>
      <c r="O8" s="11"/>
      <c r="P8" s="16"/>
      <c r="Q8" s="8"/>
    </row>
    <row r="9" spans="1:17">
      <c r="A9" s="23" t="s">
        <v>28</v>
      </c>
      <c r="B9" s="25">
        <v>46387</v>
      </c>
      <c r="C9" s="7">
        <v>46023</v>
      </c>
      <c r="D9" s="7">
        <v>46387</v>
      </c>
      <c r="E9" s="3"/>
      <c r="F9" s="3"/>
      <c r="G9" s="15"/>
      <c r="H9" s="10"/>
      <c r="I9" s="10"/>
      <c r="J9" s="11"/>
      <c r="K9" s="11"/>
      <c r="L9" s="18"/>
      <c r="M9" s="11"/>
      <c r="N9" s="11"/>
      <c r="O9" s="11"/>
      <c r="P9" s="16"/>
      <c r="Q9" s="8"/>
    </row>
    <row r="10" spans="1:17">
      <c r="A10" s="23" t="s">
        <v>29</v>
      </c>
      <c r="B10" s="25">
        <v>46081</v>
      </c>
      <c r="C10" s="8"/>
      <c r="D10" s="7">
        <v>46112</v>
      </c>
      <c r="E10" s="3"/>
      <c r="F10" s="3"/>
      <c r="G10" s="15"/>
      <c r="H10" s="10"/>
      <c r="I10" s="10"/>
      <c r="J10" s="11"/>
      <c r="K10" s="11"/>
      <c r="L10" s="18"/>
      <c r="M10" s="11"/>
      <c r="N10" s="11"/>
      <c r="O10" s="11"/>
      <c r="P10" s="16"/>
      <c r="Q10" s="8"/>
    </row>
    <row r="11" spans="1:17">
      <c r="A11" s="23" t="s">
        <v>30</v>
      </c>
      <c r="B11" s="25">
        <v>46387</v>
      </c>
      <c r="C11" s="7">
        <v>45776</v>
      </c>
      <c r="D11" s="7">
        <v>46324</v>
      </c>
      <c r="E11" s="3"/>
      <c r="F11" s="3"/>
      <c r="G11" s="15"/>
      <c r="H11" s="10">
        <v>46127</v>
      </c>
      <c r="I11" s="10">
        <v>46324</v>
      </c>
      <c r="J11" s="11" t="s">
        <v>19</v>
      </c>
      <c r="K11" s="11" t="s">
        <v>19</v>
      </c>
      <c r="L11" s="18"/>
      <c r="M11" s="11"/>
      <c r="N11" s="11"/>
      <c r="O11" s="11"/>
      <c r="P11" s="16"/>
      <c r="Q11" s="8"/>
    </row>
    <row r="12" spans="1:17">
      <c r="A12" s="23" t="s">
        <v>31</v>
      </c>
      <c r="B12" s="25">
        <v>46387</v>
      </c>
      <c r="C12" s="8"/>
      <c r="D12" s="8"/>
      <c r="E12" s="3"/>
      <c r="F12" s="3"/>
      <c r="G12" s="15" t="s">
        <v>32</v>
      </c>
      <c r="H12" s="10"/>
      <c r="I12" s="10"/>
      <c r="J12" s="11"/>
      <c r="K12" s="11"/>
      <c r="L12" s="18"/>
      <c r="M12" s="11"/>
      <c r="N12" s="11"/>
      <c r="O12" s="11"/>
      <c r="P12" s="16"/>
      <c r="Q12" s="8"/>
    </row>
    <row r="13" spans="1:17">
      <c r="A13" s="23"/>
      <c r="B13" s="25"/>
      <c r="C13" s="8"/>
      <c r="D13" s="8"/>
      <c r="E13" s="3"/>
      <c r="F13" s="3"/>
      <c r="G13" s="15"/>
      <c r="H13" s="10"/>
      <c r="I13" s="10"/>
      <c r="J13" s="11"/>
      <c r="K13" s="11"/>
      <c r="L13" s="18"/>
      <c r="M13" s="11"/>
      <c r="N13" s="11"/>
      <c r="O13" s="11"/>
      <c r="P13" s="16"/>
      <c r="Q13" s="8"/>
    </row>
    <row r="14" spans="1:17">
      <c r="A14" s="23"/>
      <c r="B14" s="26"/>
      <c r="C14" s="8"/>
      <c r="D14" s="8"/>
      <c r="E14" s="4"/>
      <c r="F14" s="4"/>
      <c r="G14" s="19"/>
      <c r="H14" s="20"/>
      <c r="I14" s="20"/>
      <c r="J14" s="20"/>
      <c r="K14" s="20"/>
      <c r="L14" s="19"/>
      <c r="M14" s="20"/>
      <c r="N14" s="20"/>
      <c r="O14" s="20"/>
      <c r="P14" s="21"/>
      <c r="Q14" s="8"/>
    </row>
    <row r="17" spans="3:3" ht="15" customHeight="1">
      <c r="C17" s="9"/>
    </row>
    <row r="18" spans="3:3" ht="15" customHeight="1">
      <c r="C18" s="9"/>
    </row>
    <row r="19" spans="3:3" ht="15" customHeight="1">
      <c r="C19" s="9"/>
    </row>
    <row r="20" spans="3:3" ht="15" customHeight="1">
      <c r="C20" s="9"/>
    </row>
    <row r="21" spans="3:3" ht="15" customHeight="1">
      <c r="C21" s="9"/>
    </row>
    <row r="22" spans="3:3" ht="15" customHeight="1">
      <c r="C22" s="9"/>
    </row>
    <row r="23" spans="3:3" ht="15" customHeight="1">
      <c r="C23" s="9"/>
    </row>
    <row r="24" spans="3:3" ht="15" customHeight="1">
      <c r="C24" s="9"/>
    </row>
    <row r="25" spans="3:3" ht="15" customHeight="1">
      <c r="C25" s="9"/>
    </row>
    <row r="26" spans="3:3" ht="15" customHeight="1">
      <c r="C26" s="9"/>
    </row>
    <row r="27" spans="3:3" ht="15" customHeight="1">
      <c r="C27" s="9"/>
    </row>
    <row r="28" spans="3:3" ht="15" customHeight="1">
      <c r="C28" s="9"/>
    </row>
    <row r="29" spans="3:3" ht="15" customHeight="1">
      <c r="C29" s="9"/>
    </row>
    <row r="30" spans="3:3" ht="15" customHeight="1">
      <c r="C30" s="9"/>
    </row>
    <row r="31" spans="3:3" ht="15" customHeight="1">
      <c r="C31" s="9"/>
    </row>
    <row r="32" spans="3:3" ht="15" customHeight="1">
      <c r="C32" s="9"/>
    </row>
    <row r="33" spans="3:3" ht="15" customHeight="1">
      <c r="C33" s="9"/>
    </row>
    <row r="34" spans="3:3" ht="15" customHeight="1">
      <c r="C34" s="9"/>
    </row>
  </sheetData>
  <conditionalFormatting sqref="P2:Q14">
    <cfRule type="expression" dxfId="58" priority="23">
      <formula>AND(T2&lt;TODAY(),U2&lt;&gt;"Concluído")</formula>
    </cfRule>
    <cfRule type="expression" dxfId="57" priority="24">
      <formula>AND(T2-TODAY()&lt;=7,T2&gt;=TODAY(),U2&lt;&gt;"Concluído")</formula>
    </cfRule>
  </conditionalFormatting>
  <conditionalFormatting sqref="I2:I14">
    <cfRule type="expression" dxfId="56" priority="25">
      <formula>AND(S2&lt;TODAY(),T2&lt;&gt;"Concluído")</formula>
    </cfRule>
    <cfRule type="expression" dxfId="55" priority="26">
      <formula>AND(S2-TODAY()&lt;=7,S2&gt;=TODAY(),T2&lt;&gt;"Concluído")</formula>
    </cfRule>
  </conditionalFormatting>
  <conditionalFormatting sqref="H2:H7 G8:H14">
    <cfRule type="expression" dxfId="54" priority="27">
      <formula>AND(S2&lt;TODAY(),T2&lt;&gt;"Concluído")</formula>
    </cfRule>
    <cfRule type="expression" dxfId="53" priority="28">
      <formula>AND(S2-TODAY()&lt;=7,S2&gt;=TODAY(),T2&lt;&gt;"Concluído")</formula>
    </cfRule>
  </conditionalFormatting>
  <conditionalFormatting sqref="N8:O14 N7">
    <cfRule type="expression" dxfId="52" priority="29">
      <formula>AND(T7&lt;TODAY(),U7&lt;&gt;"Concluído")</formula>
    </cfRule>
    <cfRule type="expression" dxfId="51" priority="30">
      <formula>AND(T7-TODAY()&lt;=7,T7&gt;=TODAY(),U7&lt;&gt;"Concluído")</formula>
    </cfRule>
  </conditionalFormatting>
  <conditionalFormatting sqref="J2:J3 J8:K14 K7 J4:K6">
    <cfRule type="expression" dxfId="50" priority="31">
      <formula>AND(S2&lt;TODAY(),T2&lt;&gt;"Concluído")</formula>
    </cfRule>
    <cfRule type="expression" dxfId="49" priority="32">
      <formula>AND(S2-TODAY()&lt;=7,S2&gt;=TODAY(),T2&lt;&gt;"Concluído")</formula>
    </cfRule>
  </conditionalFormatting>
  <conditionalFormatting sqref="C2:C14 E3:E14">
    <cfRule type="expression" dxfId="48" priority="33">
      <formula>AND(Q2&lt;TODAY(),R2&lt;&gt;"Concluído")</formula>
    </cfRule>
    <cfRule type="expression" dxfId="47" priority="34">
      <formula>AND(Q2-TODAY()&lt;=7,Q2&gt;=TODAY(),R2&lt;&gt;"Concluído")</formula>
    </cfRule>
  </conditionalFormatting>
  <conditionalFormatting sqref="F2:F4 D2:D6 F7:F14 D8:D14">
    <cfRule type="expression" dxfId="46" priority="35">
      <formula>AND(Q2&lt;TODAY(),R2&lt;&gt;"Concluído")</formula>
    </cfRule>
    <cfRule type="expression" dxfId="45" priority="36">
      <formula>AND(Q2-TODAY()&lt;=7,Q2&gt;=TODAY(),R2&lt;&gt;"Concluído")</formula>
    </cfRule>
  </conditionalFormatting>
  <conditionalFormatting sqref="L8:M14 M7 N5:O6">
    <cfRule type="expression" dxfId="44" priority="19">
      <formula>AND(T5&lt;TODAY(),U5&lt;&gt;"Concluído")</formula>
    </cfRule>
    <cfRule type="expression" dxfId="43" priority="20">
      <formula>AND(T5-TODAY()&lt;=7,T5&gt;=TODAY(),U5&lt;&gt;"Concluído")</formula>
    </cfRule>
  </conditionalFormatting>
  <conditionalFormatting sqref="M5:M6">
    <cfRule type="expression" dxfId="42" priority="21">
      <formula>AND(W5&lt;TODAY(),X5&lt;&gt;"Concluído")</formula>
    </cfRule>
    <cfRule type="expression" dxfId="41" priority="22">
      <formula>AND(W5-TODAY()&lt;=7,W5&gt;=TODAY(),X5&lt;&gt;"Concluído")</formula>
    </cfRule>
  </conditionalFormatting>
  <conditionalFormatting sqref="N2:O4">
    <cfRule type="expression" dxfId="40" priority="15">
      <formula>AND(V2&lt;TODAY(),W2&lt;&gt;"Concluído")</formula>
    </cfRule>
    <cfRule type="expression" dxfId="39" priority="16">
      <formula>AND(V2-TODAY()&lt;=7,V2&gt;=TODAY(),W2&lt;&gt;"Concluído")</formula>
    </cfRule>
  </conditionalFormatting>
  <conditionalFormatting sqref="L2:M4 L5:L7">
    <cfRule type="expression" dxfId="38" priority="17">
      <formula>AND(V2&lt;TODAY(),W2&lt;&gt;"Concluído")</formula>
    </cfRule>
    <cfRule type="expression" dxfId="37" priority="18">
      <formula>AND(V2-TODAY()&lt;=7,V2&gt;=TODAY(),W2&lt;&gt;"Concluído")</formula>
    </cfRule>
  </conditionalFormatting>
  <conditionalFormatting sqref="K2:K3">
    <cfRule type="expression" dxfId="36" priority="39">
      <formula>AND(T1&lt;TODAY(),U1&lt;&gt;"Concluído")</formula>
    </cfRule>
    <cfRule type="expression" dxfId="35" priority="40">
      <formula>AND(T1-TODAY()&lt;=7,T1&gt;=TODAY(),U1&lt;&gt;"Concluído")</formula>
    </cfRule>
  </conditionalFormatting>
  <conditionalFormatting sqref="G2:G7">
    <cfRule type="expression" dxfId="34" priority="13">
      <formula>AND(Q2&lt;TODAY(),R2&lt;&gt;"Concluído")</formula>
    </cfRule>
    <cfRule type="expression" dxfId="33" priority="14">
      <formula>AND(Q2-TODAY()&lt;=7,Q2&gt;=TODAY(),R2&lt;&gt;"Concluído")</formula>
    </cfRule>
  </conditionalFormatting>
  <conditionalFormatting sqref="A2:A14">
    <cfRule type="expression" dxfId="32" priority="43">
      <formula>AND(P2&lt;TODAY(),Q2&lt;&gt;"Concluído")</formula>
    </cfRule>
    <cfRule type="expression" dxfId="31" priority="44">
      <formula>AND(P2-TODAY()&lt;=7,P2&gt;=TODAY(),Q2&lt;&gt;"Concluído")</formula>
    </cfRule>
  </conditionalFormatting>
  <conditionalFormatting sqref="B2:B14">
    <cfRule type="expression" dxfId="30" priority="11">
      <formula>AND(O2&lt;TODAY(),P2&lt;&gt;"Concluído")</formula>
    </cfRule>
    <cfRule type="expression" dxfId="29" priority="12">
      <formula>AND(O2-TODAY()&lt;=7,O2&gt;=TODAY(),P2&lt;&gt;"Concluído")</formula>
    </cfRule>
  </conditionalFormatting>
  <conditionalFormatting sqref="E2">
    <cfRule type="expression" dxfId="28" priority="9">
      <formula>AND(R2&lt;TODAY(),S2&lt;&gt;"Concluído")</formula>
    </cfRule>
    <cfRule type="expression" dxfId="27" priority="10">
      <formula>AND(R2-TODAY()&lt;=7,R2&gt;=TODAY(),S2&lt;&gt;"Concluído")</formula>
    </cfRule>
  </conditionalFormatting>
  <conditionalFormatting sqref="F5:F6">
    <cfRule type="expression" dxfId="26" priority="7">
      <formula>AND(T5&lt;TODAY(),U5&lt;&gt;"Concluído")</formula>
    </cfRule>
    <cfRule type="expression" dxfId="25" priority="8">
      <formula>AND(T5-TODAY()&lt;=7,T5&gt;=TODAY(),U5&lt;&gt;"Concluído")</formula>
    </cfRule>
  </conditionalFormatting>
  <conditionalFormatting sqref="D7">
    <cfRule type="expression" dxfId="24" priority="5">
      <formula>AND(R7&lt;TODAY(),S7&lt;&gt;"Concluído")</formula>
    </cfRule>
    <cfRule type="expression" dxfId="23" priority="6">
      <formula>AND(R7-TODAY()&lt;=7,R7&gt;=TODAY(),S7&lt;&gt;"Concluído")</formula>
    </cfRule>
  </conditionalFormatting>
  <conditionalFormatting sqref="O7">
    <cfRule type="expression" dxfId="22" priority="3">
      <formula>AND(W7&lt;TODAY(),X7&lt;&gt;"Concluído")</formula>
    </cfRule>
    <cfRule type="expression" dxfId="21" priority="4">
      <formula>AND(W7-TODAY()&lt;=7,W7&gt;=TODAY(),X7&lt;&gt;"Concluído")</formula>
    </cfRule>
  </conditionalFormatting>
  <conditionalFormatting sqref="J7">
    <cfRule type="expression" dxfId="20" priority="1">
      <formula>AND(R7&lt;TODAY(),S7&lt;&gt;"Concluído")</formula>
    </cfRule>
    <cfRule type="expression" dxfId="19" priority="2">
      <formula>AND(R7-TODAY()&lt;=7,R7&gt;=TODAY(),S7&lt;&gt;"Concluído")</formula>
    </cfRule>
  </conditionalFormatting>
  <dataValidations count="1">
    <dataValidation type="list" allowBlank="1" showInputMessage="1" showErrorMessage="1" sqref="Q2:Q14" xr:uid="{1294054B-A4EA-44E2-A382-B3566231802C}">
      <formula1>"PENDENTE,ATRASADO,CONCLUÍDO"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3" sqref="B3"/>
    </sheetView>
  </sheetViews>
  <sheetFormatPr defaultRowHeight="14.45"/>
  <cols>
    <col min="1" max="1" width="48" bestFit="1" customWidth="1"/>
    <col min="2" max="2" width="20" customWidth="1"/>
  </cols>
  <sheetData>
    <row r="1" spans="1:2" ht="18">
      <c r="A1" s="1" t="s">
        <v>33</v>
      </c>
    </row>
    <row r="3" spans="1:2">
      <c r="A3" s="2" t="s">
        <v>34</v>
      </c>
      <c r="B3">
        <f>COUNTA('Controle de Prazos'!A2:A14)</f>
        <v>11</v>
      </c>
    </row>
    <row r="4" spans="1:2">
      <c r="A4" s="2" t="s">
        <v>35</v>
      </c>
      <c r="B4">
        <f>COUNTIF('Controle de Prazos'!Q2:Q14,"Concluído")</f>
        <v>0</v>
      </c>
    </row>
    <row r="5" spans="1:2">
      <c r="A5" s="2" t="s">
        <v>36</v>
      </c>
      <c r="B5">
        <f>COUNTIF('Controle de Prazos'!Q2:Q14,"Pendente")</f>
        <v>0</v>
      </c>
    </row>
    <row r="6" spans="1:2">
      <c r="A6" s="2" t="s">
        <v>37</v>
      </c>
      <c r="B6">
        <f>COUNTIF('Controle de Prazos'!Q2:Q14,"Atrasado")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taiza@sementesdovale.org</cp:lastModifiedBy>
  <cp:revision/>
  <dcterms:created xsi:type="dcterms:W3CDTF">2026-02-06T10:48:28Z</dcterms:created>
  <dcterms:modified xsi:type="dcterms:W3CDTF">2026-02-12T15:09:00Z</dcterms:modified>
  <cp:category/>
  <cp:contentStatus/>
</cp:coreProperties>
</file>